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4083691EE3B4036/WORKING ON/GuardDog/Laptop/Financials/Pricing strategy and cost structure/"/>
    </mc:Choice>
  </mc:AlternateContent>
  <xr:revisionPtr revIDLastSave="3" documentId="13_ncr:1_{2D27DFA9-F9D0-47BF-9BA2-F6AC374BC92E}" xr6:coauthVersionLast="47" xr6:coauthVersionMax="47" xr10:uidLastSave="{DBF57D76-22ED-4EF9-8FFA-8EE197C0CE2D}"/>
  <bookViews>
    <workbookView xWindow="28680" yWindow="-120" windowWidth="29040" windowHeight="15720" xr2:uid="{BBDC14B7-27BD-41FD-B05E-BA5121CE006A}"/>
  </bookViews>
  <sheets>
    <sheet name="Calculator v2" sheetId="1" r:id="rId1"/>
    <sheet name="Calculator 3000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C47" i="1"/>
  <c r="D47" i="1"/>
  <c r="E47" i="1"/>
  <c r="B47" i="1"/>
  <c r="E48" i="1"/>
  <c r="D48" i="1"/>
  <c r="C48" i="1"/>
  <c r="B45" i="1"/>
  <c r="B48" i="1"/>
  <c r="C44" i="1"/>
  <c r="D44" i="1"/>
  <c r="E44" i="1"/>
  <c r="B44" i="1"/>
  <c r="C43" i="1"/>
  <c r="C45" i="1" s="1"/>
  <c r="C49" i="1" s="1"/>
  <c r="C36" i="1" s="1"/>
  <c r="B43" i="1"/>
  <c r="C18" i="1"/>
  <c r="D18" i="1"/>
  <c r="E18" i="1"/>
  <c r="B18" i="1"/>
  <c r="B35" i="1"/>
  <c r="B22" i="1" s="1"/>
  <c r="D5" i="1"/>
  <c r="D43" i="1" s="1"/>
  <c r="D45" i="1" s="1"/>
  <c r="D49" i="1" s="1"/>
  <c r="D36" i="1" s="1"/>
  <c r="E5" i="1"/>
  <c r="E43" i="1" s="1"/>
  <c r="E45" i="1" s="1"/>
  <c r="E49" i="1" s="1"/>
  <c r="E36" i="1" s="1"/>
  <c r="E15" i="1"/>
  <c r="D15" i="1"/>
  <c r="C15" i="1"/>
  <c r="E6" i="1" a="1"/>
  <c r="E6" i="1" s="1"/>
  <c r="D6" i="1" a="1"/>
  <c r="D6" i="1" s="1"/>
  <c r="B49" i="1" l="1"/>
  <c r="E20" i="1"/>
  <c r="D20" i="1"/>
  <c r="B41" i="1"/>
  <c r="E27" i="1"/>
  <c r="D27" i="1"/>
  <c r="C27" i="1"/>
  <c r="B17" i="2"/>
  <c r="K4" i="1"/>
  <c r="J4" i="1"/>
  <c r="I4" i="1"/>
  <c r="H4" i="1"/>
  <c r="C20" i="1"/>
  <c r="G3" i="2"/>
  <c r="G5" i="2" s="1"/>
  <c r="H6" i="1"/>
  <c r="I6" i="1"/>
  <c r="J6" i="1"/>
  <c r="K6" i="1"/>
  <c r="B21" i="1"/>
  <c r="D32" i="1"/>
  <c r="E32" i="1"/>
  <c r="D37" i="1"/>
  <c r="E37" i="1"/>
  <c r="C37" i="1"/>
  <c r="C32" i="1"/>
  <c r="B27" i="1"/>
  <c r="B29" i="1" s="1"/>
  <c r="G20" i="2"/>
  <c r="G23" i="2" s="1"/>
  <c r="G14" i="2"/>
  <c r="G22" i="2" s="1"/>
  <c r="G13" i="2"/>
  <c r="G12" i="2"/>
  <c r="G9" i="2"/>
  <c r="G7" i="2"/>
  <c r="G8" i="2" s="1"/>
  <c r="G2" i="2"/>
  <c r="D30" i="1" l="1"/>
  <c r="C30" i="1"/>
  <c r="E30" i="1"/>
  <c r="C35" i="1"/>
  <c r="C22" i="1" s="1"/>
  <c r="C38" i="1"/>
  <c r="E35" i="1"/>
  <c r="E22" i="1" s="1"/>
  <c r="E38" i="1"/>
  <c r="E39" i="1" s="1"/>
  <c r="D35" i="1"/>
  <c r="D22" i="1" s="1"/>
  <c r="D38" i="1"/>
  <c r="C21" i="1"/>
  <c r="D21" i="1"/>
  <c r="E21" i="1"/>
  <c r="D41" i="1"/>
  <c r="D42" i="1" s="1"/>
  <c r="E41" i="1"/>
  <c r="E42" i="1" s="1"/>
  <c r="C41" i="1"/>
  <c r="C42" i="1" s="1"/>
  <c r="B42" i="1"/>
  <c r="I5" i="1"/>
  <c r="K5" i="1"/>
  <c r="J5" i="1"/>
  <c r="D39" i="1"/>
  <c r="C39" i="1"/>
  <c r="H5" i="1"/>
  <c r="B54" i="1"/>
  <c r="B56" i="1" s="1"/>
  <c r="D54" i="1"/>
  <c r="E54" i="1"/>
  <c r="E29" i="1"/>
  <c r="C29" i="1"/>
  <c r="D29" i="1"/>
  <c r="G4" i="2"/>
  <c r="G10" i="2"/>
  <c r="G6" i="2"/>
  <c r="H10" i="1"/>
  <c r="C54" i="1" l="1"/>
  <c r="K10" i="1"/>
  <c r="C40" i="1"/>
  <c r="D40" i="1"/>
  <c r="J10" i="1"/>
  <c r="E40" i="1"/>
  <c r="I7" i="1"/>
  <c r="J7" i="1"/>
  <c r="H7" i="1"/>
  <c r="K7" i="1"/>
  <c r="G11" i="2"/>
  <c r="G25" i="2" s="1"/>
  <c r="G21" i="2"/>
  <c r="G24" i="2" s="1"/>
  <c r="G26" i="2" l="1"/>
  <c r="I10" i="1" l="1"/>
  <c r="I8" i="1"/>
  <c r="I9" i="1" s="1"/>
  <c r="J8" i="1"/>
  <c r="J9" i="1" s="1"/>
  <c r="J11" i="1" s="1"/>
  <c r="E56" i="1"/>
  <c r="K8" i="1"/>
  <c r="K9" i="1" s="1"/>
  <c r="K11" i="1" s="1"/>
  <c r="D56" i="1"/>
  <c r="D57" i="1" s="1"/>
  <c r="C56" i="1"/>
  <c r="C57" i="1" s="1"/>
  <c r="E55" i="1"/>
  <c r="D55" i="1"/>
  <c r="H8" i="1"/>
  <c r="H9" i="1" s="1"/>
  <c r="H11" i="1" s="1"/>
  <c r="C55" i="1"/>
  <c r="B57" i="1"/>
  <c r="I11" i="1" l="1"/>
  <c r="I12" i="1" s="1"/>
  <c r="H12" i="1"/>
  <c r="J12" i="1"/>
  <c r="E57" i="1"/>
  <c r="K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<sst xmlns="http://schemas.openxmlformats.org/spreadsheetml/2006/main" count="224" uniqueCount="202">
  <si>
    <t>GuardDog AI Defense ROSI and Toil Calculator</t>
  </si>
  <si>
    <t>INPUTS (edit the yellow cells)</t>
  </si>
  <si>
    <t>ROSI and Toil Reduction</t>
  </si>
  <si>
    <t>Annual risk BEFORE</t>
  </si>
  <si>
    <t>Cost per protected hour/endpoint</t>
  </si>
  <si>
    <t>Residual probability AFTER</t>
  </si>
  <si>
    <t>Annual risk AFTER</t>
  </si>
  <si>
    <t>Cost per cybersecurity incident (USD)</t>
  </si>
  <si>
    <t>Annual avoided loss</t>
  </si>
  <si>
    <t xml:space="preserve">Mitigation effectiveness </t>
  </si>
  <si>
    <t>Total avoided loss (horizon)</t>
  </si>
  <si>
    <t>Total solution cost (CapEx + OpEx*horizon)</t>
  </si>
  <si>
    <t>OpEx (annual)</t>
  </si>
  <si>
    <t>Time horizon (years)</t>
  </si>
  <si>
    <t>HIPAA incident per individual</t>
  </si>
  <si>
    <t>HIPAA individuals</t>
  </si>
  <si>
    <t>HIPAA fine</t>
  </si>
  <si>
    <t>GDPR fine</t>
  </si>
  <si>
    <t>Hours of toil per week per member</t>
  </si>
  <si>
    <t>Weeks per year</t>
  </si>
  <si>
    <t>% Toil reduction</t>
  </si>
  <si>
    <t>Annual toil cost</t>
  </si>
  <si>
    <t>Annual toil savings</t>
  </si>
  <si>
    <t>Value</t>
  </si>
  <si>
    <t>Annualized Loss Expectancy ALE (Baseline)</t>
  </si>
  <si>
    <t>Baseline Annualized Loss Expectancy before adjustments.</t>
  </si>
  <si>
    <t>Company Annual Revenue ($)</t>
  </si>
  <si>
    <t>Revenue context for downtime calculus</t>
  </si>
  <si>
    <t>Single Loss Expectancy SLE Adjusted (Reg/Churn)</t>
  </si>
  <si>
    <t>SLE adjusted upward by regulatory/contract and customer churn impacts.</t>
  </si>
  <si>
    <t>Downtime Cost per Hour ($)</t>
  </si>
  <si>
    <t>Lost revenue per outage-hour</t>
  </si>
  <si>
    <t>ALE Adjusted</t>
  </si>
  <si>
    <t>Analyst Fully Loaded Rate ($/hr)</t>
  </si>
  <si>
    <t>Fully loaded engineer rate</t>
  </si>
  <si>
    <t>Insurance Expected Recovery</t>
  </si>
  <si>
    <t>Insurance payout after deductible. If Adjusted SLE is below the deductible, recovery is zero.</t>
  </si>
  <si>
    <t>Discount Rate (%)</t>
  </si>
  <si>
    <t>Used to discount cash flows for NPV/DCF (8-12%)</t>
  </si>
  <si>
    <t>Net ALE After Insurance</t>
  </si>
  <si>
    <t>Expected loss after accounting for insurance recovery.</t>
  </si>
  <si>
    <t>Baseline ARO - Annual Rate of Occurrence (incidents/year)</t>
  </si>
  <si>
    <t>Annualized rate of ARP incidents</t>
  </si>
  <si>
    <t>Combined Mitigation (pre-overlap)</t>
  </si>
  <si>
    <t>Sum of mitigation contributions from the active controls converted to fraction.</t>
  </si>
  <si>
    <t>Single Loss Expectancy SLE ($)</t>
  </si>
  <si>
    <t>Average all-in loss per ARP incident</t>
  </si>
  <si>
    <t>Overlap Adjusted Mitigation</t>
  </si>
  <si>
    <t>Reduce combined mitigation by overlap factor to avoid double-counting.</t>
  </si>
  <si>
    <t>Detection Probability Without Controls (%)</t>
  </si>
  <si>
    <t>Baseline detection rate (no controls)</t>
  </si>
  <si>
    <t>Residual Risk Add-On</t>
  </si>
  <si>
    <t>Risk floor as a fraction; the portion of risk that remains even after controls.</t>
  </si>
  <si>
    <t>Containment MTTR (hours)</t>
  </si>
  <si>
    <t>Mean time to contain (no controls)</t>
  </si>
  <si>
    <t>Effective Mitigation Ratio</t>
  </si>
  <si>
    <t>Final mitigation fraction after subtracting residual risk.</t>
  </si>
  <si>
    <t>Regulatory/Contractual SLE Uplift (%)</t>
  </si>
  <si>
    <t>% SLE uplift for fines/SLAs</t>
  </si>
  <si>
    <t>ALE Avoided (Annual)</t>
  </si>
  <si>
    <t>Dollar value of risk reduction per year</t>
  </si>
  <si>
    <t>Customer Churn SLE Uplift (%)</t>
  </si>
  <si>
    <t>% SLE uplift for churn/brand</t>
  </si>
  <si>
    <t>Annual Solution OpEx</t>
  </si>
  <si>
    <t>Sum of annual OpEx for all active controls.</t>
  </si>
  <si>
    <t>Insurance Deductible ($)</t>
  </si>
  <si>
    <t>Insurance deductible if any</t>
  </si>
  <si>
    <t>One-time CapEx (Year 0)</t>
  </si>
  <si>
    <t>Sum of one-time CapEx for active controls in Year 0.</t>
  </si>
  <si>
    <t>Insurance Coverage Rate (%)</t>
  </si>
  <si>
    <t>Coverage % after deductible</t>
  </si>
  <si>
    <t>Labor Hours (One-time)</t>
  </si>
  <si>
    <t>Sum of one-time labor hour buckets multiplied by the labor scaling factor.</t>
  </si>
  <si>
    <t>DAI Mitigation Ratio (%)</t>
  </si>
  <si>
    <t>DAI mitigation contribution</t>
  </si>
  <si>
    <t>Labor Hours (Annual)</t>
  </si>
  <si>
    <t>Sum of annual labor hour buckets multiplied by the labor scaling factor.</t>
  </si>
  <si>
    <t>DHCP Snooping Mitigation Ratio (%)</t>
  </si>
  <si>
    <t>DHCP Snooping mitigation contribution</t>
  </si>
  <si>
    <t>Ops Overhead Loss (Annual)</t>
  </si>
  <si>
    <t>Ops overhead as a % of Net ALE After Insurance. This represents productivity loss/toil due to false positives/blocking.</t>
  </si>
  <si>
    <t>Port Security Mitigation Ratio (%)</t>
  </si>
  <si>
    <t>Port Security mitigation contribution</t>
  </si>
  <si>
    <t>Labor Cost (One-time)</t>
  </si>
  <si>
    <t>One-time labor hours × fully loaded rate.</t>
  </si>
  <si>
    <t>802.1X/NAC Mitigation Ratio (%)</t>
  </si>
  <si>
    <t>802.1X/NAC mitigation contribution</t>
  </si>
  <si>
    <t>Labor Cost (Annual)</t>
  </si>
  <si>
    <t>Annual labor hours × fully loaded rate.</t>
  </si>
  <si>
    <t>Micro-Segmentation Mitigation Ratio (%)</t>
  </si>
  <si>
    <t>Micro-Seg mitigation contribution</t>
  </si>
  <si>
    <t>Annualized Cost (Steady State)</t>
  </si>
  <si>
    <t>Total recurring annual burden: OpEx + Annual Labor + Ops Overhead Loss.</t>
  </si>
  <si>
    <t>VPN/Cert-based EAP Coverage (%)</t>
  </si>
  <si>
    <t>Monitoring coverage proxy</t>
  </si>
  <si>
    <t>Return on Security Investment ROSI (Mitigation method)</t>
  </si>
  <si>
    <t>Return on Security Investment using mitigation framing: (Annual benefits − Annualized costs) / Annualized costs.</t>
  </si>
  <si>
    <t>Residual Risk After Controls (%)</t>
  </si>
  <si>
    <t>Residual risk floor after controls</t>
  </si>
  <si>
    <t>Payback Period (years)</t>
  </si>
  <si>
    <t>Days to recover initial outlay (CapEx + one-time labor) using annual net benefit (ALE Avoided − Annualized Cost). If annual net benefit ≤ 0, payback is N/A.</t>
  </si>
  <si>
    <t>False Positive Rate Impact on Ops (%)</t>
  </si>
  <si>
    <t>Ops cost hit from FPs/blocking</t>
  </si>
  <si>
    <t>Monitoring/Alerting Efficacy (%)</t>
  </si>
  <si>
    <t>Monitoring efficacy for detection</t>
  </si>
  <si>
    <t>Control Overlap Factor (%)</t>
  </si>
  <si>
    <t>Control overlap to avoid double-count</t>
  </si>
  <si>
    <t>DAI CapEx ($)</t>
  </si>
  <si>
    <t>DAI one-time</t>
  </si>
  <si>
    <t>DAI OpEx Annual ($)</t>
  </si>
  <si>
    <t>DAI annual</t>
  </si>
  <si>
    <t>DHCP Snooping CapEx ($)</t>
  </si>
  <si>
    <t>DHCP one-time</t>
  </si>
  <si>
    <t>DHCP Snooping OpEx Annual ($)</t>
  </si>
  <si>
    <t>DHCP annual</t>
  </si>
  <si>
    <t>802.1X/NAC CapEx ($)</t>
  </si>
  <si>
    <t>NAC one-time</t>
  </si>
  <si>
    <t>802.1X/NAC OpEx Annual ($)</t>
  </si>
  <si>
    <t>NAC annual</t>
  </si>
  <si>
    <t>Micro-Segmentation CapEx ($)</t>
  </si>
  <si>
    <t>Micro-Seg one-time</t>
  </si>
  <si>
    <t>Micro-Segmentation OpEx Annual ($)</t>
  </si>
  <si>
    <t>Micro-Seg annual</t>
  </si>
  <si>
    <t>Monitoring/Telemetry CapEx ($)</t>
  </si>
  <si>
    <t>Monitoring one-time</t>
  </si>
  <si>
    <t>Monitoring/Telemetry OpEx Annual ($)</t>
  </si>
  <si>
    <t>Monitoring annual</t>
  </si>
  <si>
    <t>Discovery &amp; Inventory Hours</t>
  </si>
  <si>
    <t>One-time discovery workload</t>
  </si>
  <si>
    <t>Design &amp; Lab Validation Hours</t>
  </si>
  <si>
    <t>One-time lab/design workload</t>
  </si>
  <si>
    <t>Network Change/Config Hours</t>
  </si>
  <si>
    <t>Change+config workload</t>
  </si>
  <si>
    <t>Exception Handling Hours (Annual)</t>
  </si>
  <si>
    <t>Annual exceptions workload</t>
  </si>
  <si>
    <t>Monitoring &amp; Tuning Hours (Annual)</t>
  </si>
  <si>
    <t>Annual tuning workload</t>
  </si>
  <si>
    <t>User Training/Comms Hours</t>
  </si>
  <si>
    <t>Training &amp; comms workload</t>
  </si>
  <si>
    <t>Project Management Hours</t>
  </si>
  <si>
    <t>PM/coordination workload</t>
  </si>
  <si>
    <t>Pen-Testing/Red-Team Hours</t>
  </si>
  <si>
    <t>Validation/pen-test workload</t>
  </si>
  <si>
    <t>Annual Audits/Compliance Hours</t>
  </si>
  <si>
    <t>Annual audits workload</t>
  </si>
  <si>
    <t>Legacy Devices w/ Static IPs (%)</t>
  </si>
  <si>
    <t>Static IP or cert-ineligible share</t>
  </si>
  <si>
    <t>Unsupported Switches (%)</t>
  </si>
  <si>
    <t>Switches lacking features</t>
  </si>
  <si>
    <t>VLAN Hygiene Gap (%)</t>
  </si>
  <si>
    <t>VLAN/trunk hygiene gap</t>
  </si>
  <si>
    <t>Change Window Constraints (hours/week)</t>
  </si>
  <si>
    <t>Hours/week available for changes</t>
  </si>
  <si>
    <t>Labor Scaling Method</t>
  </si>
  <si>
    <t>1=Average of active controls; 0=Fixed 100%</t>
  </si>
  <si>
    <t>OPs Overhead Scaling via Monitoring (%)</t>
  </si>
  <si>
    <t>% ops overhead reduction when Monitoring ON</t>
  </si>
  <si>
    <t>from calc3000</t>
  </si>
  <si>
    <t>Annual compliance fines</t>
  </si>
  <si>
    <t>Compared toil cost (%)</t>
  </si>
  <si>
    <t>Engineers</t>
  </si>
  <si>
    <t>CapEx</t>
  </si>
  <si>
    <t>Compliance fines savings</t>
  </si>
  <si>
    <t>ROSI - Return On Security Investment</t>
  </si>
  <si>
    <t>Annual Savings (%)</t>
  </si>
  <si>
    <t>Annual incident probability currently</t>
  </si>
  <si>
    <t>Accumulated return and savings</t>
  </si>
  <si>
    <t>GuardDog AI</t>
  </si>
  <si>
    <t>Complete</t>
  </si>
  <si>
    <t>Current</t>
  </si>
  <si>
    <t>GDPR fine ($10M or 3% GCR)</t>
  </si>
  <si>
    <t>Total FTE hours</t>
  </si>
  <si>
    <t>FTE reduction</t>
  </si>
  <si>
    <t>FTE reduction %</t>
  </si>
  <si>
    <t>Helpdesk tickets</t>
  </si>
  <si>
    <t>Number of response hours per sensor</t>
  </si>
  <si>
    <t>-</t>
  </si>
  <si>
    <t>Ticket %</t>
  </si>
  <si>
    <t>Mitigation effectiveness (%)</t>
  </si>
  <si>
    <t>Number of assessments</t>
  </si>
  <si>
    <t>Assessment cost</t>
  </si>
  <si>
    <t>Number of Readiness</t>
  </si>
  <si>
    <t>Readiness cost</t>
  </si>
  <si>
    <t>Number of networks</t>
  </si>
  <si>
    <t>Number of networks/sensors/endpoints</t>
  </si>
  <si>
    <t>Number of sensors per network</t>
  </si>
  <si>
    <t>IT personnel (80%)</t>
  </si>
  <si>
    <t>Cybersecurity personnel (20%)</t>
  </si>
  <si>
    <t>Avr. hourly cost per member</t>
  </si>
  <si>
    <t>PRH</t>
  </si>
  <si>
    <t>Attack occurrence</t>
  </si>
  <si>
    <t>Total cost of incident</t>
  </si>
  <si>
    <t>False positive scenario</t>
  </si>
  <si>
    <t>Conservative</t>
  </si>
  <si>
    <t>Percentage of false positives</t>
  </si>
  <si>
    <t>GDAI</t>
  </si>
  <si>
    <t>Number of instances</t>
  </si>
  <si>
    <t>Annual attach rate</t>
  </si>
  <si>
    <t xml:space="preserve">Total attack ocurrences </t>
  </si>
  <si>
    <t>Minutes spent per false postive</t>
  </si>
  <si>
    <t>Total hours wasted</t>
  </si>
  <si>
    <t>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</si>
</sst>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CE1"/>
        <bgColor rgb="FFFFFCE1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rgb="FFFFFC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0" fillId="0" borderId="1" xfId="0" applyBorder="1"/>
    <xf numFmtId="9" fontId="0" fillId="0" borderId="1" xfId="1" applyFont="1" applyBorder="1"/>
    <xf numFmtId="165" fontId="0" fillId="0" borderId="1" xfId="0" applyNumberFormat="1" applyBorder="1"/>
    <xf numFmtId="165" fontId="0" fillId="3" borderId="1" xfId="0" applyNumberForma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3" borderId="1" xfId="0" applyFill="1" applyBorder="1"/>
    <xf numFmtId="2" fontId="0" fillId="0" borderId="1" xfId="0" applyNumberFormat="1" applyBorder="1"/>
    <xf numFmtId="1" fontId="0" fillId="0" borderId="1" xfId="0" applyNumberFormat="1" applyBorder="1"/>
    <xf numFmtId="165" fontId="0" fillId="0" borderId="1" xfId="1" applyNumberFormat="1" applyFont="1" applyBorder="1"/>
    <xf numFmtId="0" fontId="0" fillId="4" borderId="1" xfId="0" applyFill="1" applyBorder="1"/>
    <xf numFmtId="164" fontId="0" fillId="4" borderId="1" xfId="0" applyNumberFormat="1" applyFill="1" applyBorder="1"/>
    <xf numFmtId="9" fontId="0" fillId="4" borderId="1" xfId="1" applyFont="1" applyFill="1" applyBorder="1"/>
    <xf numFmtId="164" fontId="0" fillId="0" borderId="0" xfId="0" applyNumberFormat="1"/>
    <xf numFmtId="2" fontId="0" fillId="4" borderId="1" xfId="0" applyNumberFormat="1" applyFill="1" applyBorder="1"/>
    <xf numFmtId="10" fontId="0" fillId="4" borderId="1" xfId="1" applyNumberFormat="1" applyFont="1" applyFill="1" applyBorder="1"/>
    <xf numFmtId="165" fontId="0" fillId="4" borderId="1" xfId="0" applyNumberFormat="1" applyFill="1" applyBorder="1"/>
    <xf numFmtId="10" fontId="0" fillId="0" borderId="1" xfId="1" applyNumberFormat="1" applyFont="1" applyBorder="1"/>
    <xf numFmtId="9" fontId="0" fillId="0" borderId="1" xfId="0" applyNumberFormat="1" applyBorder="1"/>
    <xf numFmtId="9" fontId="0" fillId="3" borderId="1" xfId="1" applyFont="1" applyFill="1" applyBorder="1"/>
    <xf numFmtId="164" fontId="0" fillId="3" borderId="1" xfId="0" applyNumberFormat="1" applyFill="1" applyBorder="1"/>
    <xf numFmtId="164" fontId="3" fillId="4" borderId="1" xfId="1" applyNumberFormat="1" applyFont="1" applyFill="1" applyBorder="1"/>
    <xf numFmtId="9" fontId="3" fillId="4" borderId="1" xfId="1" applyFont="1" applyFill="1" applyBorder="1"/>
    <xf numFmtId="1" fontId="0" fillId="4" borderId="1" xfId="0" applyNumberFormat="1" applyFill="1" applyBorder="1"/>
    <xf numFmtId="165" fontId="0" fillId="0" borderId="0" xfId="0" applyNumberFormat="1"/>
    <xf numFmtId="164" fontId="3" fillId="4" borderId="1" xfId="0" applyNumberFormat="1" applyFont="1" applyFill="1" applyBorder="1"/>
    <xf numFmtId="165" fontId="3" fillId="4" borderId="1" xfId="1" applyNumberFormat="1" applyFont="1" applyFill="1" applyBorder="1"/>
    <xf numFmtId="0" fontId="0" fillId="4" borderId="1" xfId="1" applyNumberFormat="1" applyFont="1" applyFill="1" applyBorder="1"/>
    <xf numFmtId="0" fontId="0" fillId="2" borderId="1" xfId="0" applyFill="1" applyBorder="1" applyProtection="1">
      <protection locked="0"/>
    </xf>
    <xf numFmtId="164" fontId="0" fillId="2" borderId="1" xfId="0" applyNumberFormat="1" applyFill="1" applyBorder="1" applyProtection="1">
      <protection locked="0"/>
    </xf>
    <xf numFmtId="9" fontId="3" fillId="2" borderId="1" xfId="1" applyFont="1" applyFill="1" applyBorder="1" applyProtection="1">
      <protection locked="0"/>
    </xf>
    <xf numFmtId="0" fontId="3" fillId="2" borderId="1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5" fontId="0" fillId="2" borderId="1" xfId="0" applyNumberFormat="1" applyFill="1" applyBorder="1" applyProtection="1">
      <protection locked="0"/>
    </xf>
    <xf numFmtId="9" fontId="0" fillId="2" borderId="1" xfId="1" applyFont="1" applyFill="1" applyBorder="1" applyProtection="1">
      <protection locked="0"/>
    </xf>
    <xf numFmtId="2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5171-2B6C-4ABC-B0FC-5F07291690DA}">
  <dimension ref="A1:K60"/>
  <sheetViews>
    <sheetView tabSelected="1" topLeftCell="A26" zoomScale="140" zoomScaleNormal="140" workbookViewId="0">
      <selection activeCell="G40" sqref="G40"/>
    </sheetView>
  </sheetViews>
  <sheetFormatPr defaultColWidth="44.42578125" defaultRowHeight="15" x14ac:dyDescent="0.25"/>
  <cols>
    <col min="1" max="1" width="35.140625" customWidth="1"/>
    <col min="2" max="3" width="14.42578125" customWidth="1"/>
    <col min="4" max="4" width="15.7109375" bestFit="1" customWidth="1"/>
    <col min="5" max="5" width="14.42578125" hidden="1" customWidth="1"/>
    <col min="6" max="6" width="4.140625" customWidth="1"/>
    <col min="7" max="7" width="39.42578125" bestFit="1" customWidth="1"/>
    <col min="8" max="8" width="14.85546875" bestFit="1" customWidth="1"/>
    <col min="9" max="9" width="15" customWidth="1"/>
    <col min="10" max="10" width="16.42578125" bestFit="1" customWidth="1"/>
    <col min="11" max="11" width="14.85546875" bestFit="1" customWidth="1"/>
  </cols>
  <sheetData>
    <row r="1" spans="1:11" x14ac:dyDescent="0.25">
      <c r="A1" s="1" t="s">
        <v>0</v>
      </c>
    </row>
    <row r="3" spans="1:11" x14ac:dyDescent="0.25">
      <c r="A3" s="1" t="s">
        <v>1</v>
      </c>
      <c r="G3" s="1" t="s">
        <v>2</v>
      </c>
    </row>
    <row r="4" spans="1:11" x14ac:dyDescent="0.25">
      <c r="B4" t="s">
        <v>169</v>
      </c>
      <c r="C4" t="s">
        <v>168</v>
      </c>
      <c r="D4" t="s">
        <v>189</v>
      </c>
      <c r="E4" t="s">
        <v>157</v>
      </c>
      <c r="H4" t="str">
        <f>B4</f>
        <v>Current</v>
      </c>
      <c r="I4" t="str">
        <f>C4</f>
        <v>Complete</v>
      </c>
      <c r="J4" t="str">
        <f>D4</f>
        <v>PRH</v>
      </c>
      <c r="K4" t="str">
        <f>E4</f>
        <v>from calc3000</v>
      </c>
    </row>
    <row r="5" spans="1:11" x14ac:dyDescent="0.25">
      <c r="A5" s="2" t="s">
        <v>184</v>
      </c>
      <c r="B5" s="30">
        <v>1000</v>
      </c>
      <c r="C5" s="30">
        <v>1000</v>
      </c>
      <c r="D5" s="12">
        <f>D11*D12</f>
        <v>50</v>
      </c>
      <c r="E5" s="12">
        <f>E11*E12</f>
        <v>26</v>
      </c>
      <c r="G5" t="s">
        <v>3</v>
      </c>
      <c r="H5" s="4">
        <f>(B18+B21+B29+B22)*B15</f>
        <v>1602000</v>
      </c>
      <c r="I5" s="4">
        <f>($B$18+$B$21+$B$29+$B$22)*C15</f>
        <v>1602000</v>
      </c>
      <c r="J5" s="4">
        <f>($B$18+$B$21+$B$29+$B$22)*D15</f>
        <v>1602000</v>
      </c>
      <c r="K5" s="4">
        <f>($B$18+$B$21+$B$29+$B$22)*E15</f>
        <v>1602000</v>
      </c>
    </row>
    <row r="6" spans="1:11" x14ac:dyDescent="0.25">
      <c r="A6" s="2" t="s">
        <v>4</v>
      </c>
      <c r="B6" s="30">
        <v>500</v>
      </c>
      <c r="C6" s="30">
        <v>75</v>
      </c>
      <c r="D6" s="12" cm="1">
        <f t="array" ref="D6">_xlfn.IFS(D13&lt;=2,100,D13&lt;5,300,D13&gt;=5,500)</f>
        <v>500</v>
      </c>
      <c r="E6" s="12" cm="1">
        <f t="array" ref="E6">_xlfn.IFS(E13&lt;=2,100,E13&lt;5,300,E13&gt;=5,500)</f>
        <v>500</v>
      </c>
      <c r="G6" t="s">
        <v>5</v>
      </c>
      <c r="H6" s="19">
        <f>B15*(1-B19)</f>
        <v>0.76500000000000001</v>
      </c>
      <c r="I6" s="19">
        <f>C15*(1-C19)</f>
        <v>8.9999999999999983E-2</v>
      </c>
      <c r="J6" s="19">
        <f>D15*(1-D19)</f>
        <v>8.9999999999999983E-2</v>
      </c>
      <c r="K6" s="19">
        <f>E15*(1-E19)</f>
        <v>8.9999999999999983E-2</v>
      </c>
    </row>
    <row r="7" spans="1:11" x14ac:dyDescent="0.25">
      <c r="A7" s="2" t="s">
        <v>179</v>
      </c>
      <c r="B7" s="38" t="s">
        <v>176</v>
      </c>
      <c r="C7" s="38" t="s">
        <v>176</v>
      </c>
      <c r="D7" s="30">
        <v>50</v>
      </c>
      <c r="E7" s="30">
        <v>2</v>
      </c>
      <c r="G7" t="s">
        <v>6</v>
      </c>
      <c r="H7" s="4">
        <f>H6*(B18+B21+B29+B54)</f>
        <v>1047744</v>
      </c>
      <c r="I7" s="4">
        <f>I6*(C18+C21+C29+C54)</f>
        <v>57535.292307692274</v>
      </c>
      <c r="J7" s="4">
        <f>J6*(D18+D21+D29+D54)</f>
        <v>36122.812499999993</v>
      </c>
      <c r="K7" s="4">
        <f>K6*(E18+E21+E29+E54)</f>
        <v>27482.812499999993</v>
      </c>
    </row>
    <row r="8" spans="1:11" x14ac:dyDescent="0.25">
      <c r="A8" s="2" t="s">
        <v>180</v>
      </c>
      <c r="B8" s="38" t="s">
        <v>176</v>
      </c>
      <c r="C8" s="38" t="s">
        <v>176</v>
      </c>
      <c r="D8" s="31">
        <v>250</v>
      </c>
      <c r="E8" s="31">
        <v>250</v>
      </c>
      <c r="G8" t="s">
        <v>8</v>
      </c>
      <c r="H8" s="4">
        <f>H5-H7</f>
        <v>554256</v>
      </c>
      <c r="I8" s="4">
        <f>I5-I7</f>
        <v>1544464.7076923077</v>
      </c>
      <c r="J8" s="4">
        <f>J5-J7</f>
        <v>1565877.1875</v>
      </c>
      <c r="K8" s="4">
        <f>K5-K7</f>
        <v>1574517.1875</v>
      </c>
    </row>
    <row r="9" spans="1:11" x14ac:dyDescent="0.25">
      <c r="A9" s="2" t="s">
        <v>181</v>
      </c>
      <c r="B9" s="38" t="s">
        <v>176</v>
      </c>
      <c r="C9" s="38" t="s">
        <v>176</v>
      </c>
      <c r="D9" s="30">
        <v>8</v>
      </c>
      <c r="E9" s="30">
        <v>2</v>
      </c>
      <c r="G9" t="s">
        <v>10</v>
      </c>
      <c r="H9" s="4">
        <f>H8*B23</f>
        <v>554256</v>
      </c>
      <c r="I9" s="4">
        <f>I8*C23</f>
        <v>1544464.7076923077</v>
      </c>
      <c r="J9" s="4">
        <f>J8*D23</f>
        <v>1565877.1875</v>
      </c>
      <c r="K9" s="4">
        <f>K8*E23</f>
        <v>1574517.1875</v>
      </c>
    </row>
    <row r="10" spans="1:11" x14ac:dyDescent="0.25">
      <c r="A10" s="2" t="s">
        <v>182</v>
      </c>
      <c r="B10" s="38" t="s">
        <v>176</v>
      </c>
      <c r="C10" s="38" t="s">
        <v>176</v>
      </c>
      <c r="D10" s="31">
        <v>12000</v>
      </c>
      <c r="E10" s="31">
        <v>12000</v>
      </c>
      <c r="G10" t="s">
        <v>11</v>
      </c>
      <c r="H10" s="4">
        <f>B21+(B22*B23)</f>
        <v>1640000</v>
      </c>
      <c r="I10" s="4">
        <f>C21+(C22*C23)</f>
        <v>271982.56410256401</v>
      </c>
      <c r="J10" s="4">
        <f>D21+(D22*D23)</f>
        <v>234645.83333333331</v>
      </c>
      <c r="K10" s="4">
        <f>E21+(E22*E23)</f>
        <v>138645.83333333331</v>
      </c>
    </row>
    <row r="11" spans="1:11" x14ac:dyDescent="0.25">
      <c r="A11" s="2" t="s">
        <v>183</v>
      </c>
      <c r="B11" s="38" t="s">
        <v>176</v>
      </c>
      <c r="C11" s="30">
        <v>26</v>
      </c>
      <c r="D11" s="30">
        <v>50</v>
      </c>
      <c r="E11" s="30">
        <v>26</v>
      </c>
      <c r="G11" t="s">
        <v>163</v>
      </c>
      <c r="H11" s="3">
        <f>H9/H10</f>
        <v>0.33796097560975608</v>
      </c>
      <c r="I11" s="3">
        <f t="shared" ref="I11:K11" si="0">I9/I10</f>
        <v>5.678543081570087</v>
      </c>
      <c r="J11" s="3">
        <f t="shared" si="0"/>
        <v>6.6733645565124746</v>
      </c>
      <c r="K11" s="3">
        <f t="shared" si="0"/>
        <v>11.356397445529678</v>
      </c>
    </row>
    <row r="12" spans="1:11" x14ac:dyDescent="0.25">
      <c r="A12" s="2" t="s">
        <v>185</v>
      </c>
      <c r="B12" s="38" t="s">
        <v>176</v>
      </c>
      <c r="C12" s="12"/>
      <c r="D12" s="30">
        <v>1</v>
      </c>
      <c r="E12" s="30">
        <v>1</v>
      </c>
      <c r="G12" t="s">
        <v>166</v>
      </c>
      <c r="H12" s="20">
        <f>H11+B57</f>
        <v>0.90046097560975613</v>
      </c>
      <c r="I12" s="20">
        <f>I11+C57</f>
        <v>6.8184607770433399</v>
      </c>
      <c r="J12" s="20">
        <f>J11+D57</f>
        <v>22.057364556512475</v>
      </c>
      <c r="K12" s="20">
        <f>K11+E57</f>
        <v>26.74039744552968</v>
      </c>
    </row>
    <row r="13" spans="1:11" x14ac:dyDescent="0.25">
      <c r="A13" s="2" t="s">
        <v>175</v>
      </c>
      <c r="B13" s="38" t="s">
        <v>176</v>
      </c>
      <c r="C13" s="38" t="s">
        <v>176</v>
      </c>
      <c r="D13" s="30">
        <v>5</v>
      </c>
      <c r="E13" s="30">
        <v>5</v>
      </c>
    </row>
    <row r="14" spans="1:11" ht="6" customHeight="1" x14ac:dyDescent="0.25">
      <c r="A14" s="2"/>
      <c r="B14" s="12"/>
      <c r="C14" s="12"/>
      <c r="D14" s="12"/>
      <c r="E14" s="12"/>
    </row>
    <row r="15" spans="1:11" x14ac:dyDescent="0.25">
      <c r="A15" s="2" t="s">
        <v>165</v>
      </c>
      <c r="B15" s="32">
        <v>0.9</v>
      </c>
      <c r="C15" s="24">
        <f>B15</f>
        <v>0.9</v>
      </c>
      <c r="D15" s="24">
        <f>B15</f>
        <v>0.9</v>
      </c>
      <c r="E15" s="24">
        <f>B15</f>
        <v>0.9</v>
      </c>
    </row>
    <row r="16" spans="1:11" x14ac:dyDescent="0.25">
      <c r="A16" s="2" t="s">
        <v>190</v>
      </c>
      <c r="B16" s="33">
        <v>2.8</v>
      </c>
      <c r="C16" s="24"/>
      <c r="D16" s="24"/>
      <c r="E16" s="24"/>
    </row>
    <row r="17" spans="1:5" x14ac:dyDescent="0.25">
      <c r="A17" s="2" t="s">
        <v>7</v>
      </c>
      <c r="B17" s="34">
        <v>50000</v>
      </c>
      <c r="C17" s="24"/>
      <c r="D17" s="24"/>
      <c r="E17" s="24"/>
    </row>
    <row r="18" spans="1:5" x14ac:dyDescent="0.25">
      <c r="A18" s="2" t="s">
        <v>191</v>
      </c>
      <c r="B18" s="27">
        <f>$B$17*$B$16</f>
        <v>140000</v>
      </c>
      <c r="C18" s="27">
        <f t="shared" ref="C18:E18" si="1">$B$17*$B$16</f>
        <v>140000</v>
      </c>
      <c r="D18" s="27">
        <f t="shared" si="1"/>
        <v>140000</v>
      </c>
      <c r="E18" s="27">
        <f t="shared" si="1"/>
        <v>140000</v>
      </c>
    </row>
    <row r="19" spans="1:5" x14ac:dyDescent="0.25">
      <c r="A19" s="2" t="s">
        <v>9</v>
      </c>
      <c r="B19" s="32">
        <v>0.15</v>
      </c>
      <c r="C19" s="32">
        <v>0.9</v>
      </c>
      <c r="D19" s="32">
        <v>0.9</v>
      </c>
      <c r="E19" s="32">
        <v>0.9</v>
      </c>
    </row>
    <row r="20" spans="1:5" x14ac:dyDescent="0.25">
      <c r="A20" s="2" t="s">
        <v>167</v>
      </c>
      <c r="B20" s="23">
        <v>0</v>
      </c>
      <c r="C20" s="28">
        <f>C5*C6*C23</f>
        <v>75000</v>
      </c>
      <c r="D20" s="28">
        <f>((D5*D6)+(D7*D8)+(D9*D10))*D23</f>
        <v>133500</v>
      </c>
      <c r="E20" s="28">
        <f>((E5*E6)+(E7*E8)+(E9*E10))*E23</f>
        <v>37500</v>
      </c>
    </row>
    <row r="21" spans="1:5" x14ac:dyDescent="0.25">
      <c r="A21" s="2" t="s">
        <v>161</v>
      </c>
      <c r="B21" s="18">
        <f>(B5*B6)*B23</f>
        <v>500000</v>
      </c>
      <c r="C21" s="18">
        <f>C20+($B$21/6)</f>
        <v>158333.33333333331</v>
      </c>
      <c r="D21" s="18">
        <f>D20+($B$21/6)</f>
        <v>216833.33333333331</v>
      </c>
      <c r="E21" s="18">
        <f>E20+($B$21/6)</f>
        <v>120833.33333333333</v>
      </c>
    </row>
    <row r="22" spans="1:5" x14ac:dyDescent="0.25">
      <c r="A22" s="2" t="s">
        <v>12</v>
      </c>
      <c r="B22" s="18">
        <f>(B35*B36*B37)</f>
        <v>1140000</v>
      </c>
      <c r="C22" s="18">
        <f t="shared" ref="C22:E22" si="2">(C35*C36*C37)</f>
        <v>113649.23076923072</v>
      </c>
      <c r="D22" s="18">
        <f t="shared" si="2"/>
        <v>17812.5</v>
      </c>
      <c r="E22" s="18">
        <f t="shared" si="2"/>
        <v>17812.5</v>
      </c>
    </row>
    <row r="23" spans="1:5" x14ac:dyDescent="0.25">
      <c r="A23" s="2" t="s">
        <v>13</v>
      </c>
      <c r="B23" s="30">
        <v>1</v>
      </c>
      <c r="C23" s="30">
        <v>1</v>
      </c>
      <c r="D23" s="30">
        <v>1</v>
      </c>
      <c r="E23" s="30">
        <v>1</v>
      </c>
    </row>
    <row r="24" spans="1:5" ht="5.25" customHeight="1" x14ac:dyDescent="0.25">
      <c r="A24" s="2"/>
      <c r="B24" s="12"/>
      <c r="C24" s="12"/>
      <c r="D24" s="12"/>
      <c r="E24" s="12"/>
    </row>
    <row r="25" spans="1:5" x14ac:dyDescent="0.25">
      <c r="A25" s="2" t="s">
        <v>14</v>
      </c>
      <c r="B25" s="31">
        <v>250</v>
      </c>
      <c r="C25" s="31">
        <v>250</v>
      </c>
      <c r="D25" s="31">
        <v>250</v>
      </c>
      <c r="E25" s="31">
        <v>250</v>
      </c>
    </row>
    <row r="26" spans="1:5" x14ac:dyDescent="0.25">
      <c r="A26" s="2" t="s">
        <v>15</v>
      </c>
      <c r="B26" s="30">
        <v>0</v>
      </c>
      <c r="C26" s="30">
        <v>0</v>
      </c>
      <c r="D26" s="30">
        <v>0</v>
      </c>
      <c r="E26" s="30">
        <v>0</v>
      </c>
    </row>
    <row r="27" spans="1:5" x14ac:dyDescent="0.25">
      <c r="A27" s="2" t="s">
        <v>16</v>
      </c>
      <c r="B27" s="13">
        <f>B25*B26</f>
        <v>0</v>
      </c>
      <c r="C27" s="13">
        <f>C25*C26</f>
        <v>0</v>
      </c>
      <c r="D27" s="13">
        <f>D25*D26</f>
        <v>0</v>
      </c>
      <c r="E27" s="13">
        <f>E25*E26</f>
        <v>0</v>
      </c>
    </row>
    <row r="28" spans="1:5" x14ac:dyDescent="0.25">
      <c r="A28" s="2" t="s">
        <v>170</v>
      </c>
      <c r="B28" s="31">
        <v>0</v>
      </c>
      <c r="C28" s="31">
        <v>0</v>
      </c>
      <c r="D28" s="31">
        <v>0</v>
      </c>
      <c r="E28" s="31">
        <v>0</v>
      </c>
    </row>
    <row r="29" spans="1:5" x14ac:dyDescent="0.25">
      <c r="A29" s="2" t="s">
        <v>158</v>
      </c>
      <c r="B29" s="13">
        <f>(B28+B27)/B23</f>
        <v>0</v>
      </c>
      <c r="C29" s="13">
        <f t="shared" ref="C29:E29" si="3">(C28+C27)/C23</f>
        <v>0</v>
      </c>
      <c r="D29" s="13">
        <f t="shared" si="3"/>
        <v>0</v>
      </c>
      <c r="E29" s="13">
        <f t="shared" si="3"/>
        <v>0</v>
      </c>
    </row>
    <row r="30" spans="1:5" x14ac:dyDescent="0.25">
      <c r="A30" s="2" t="s">
        <v>162</v>
      </c>
      <c r="B30" s="13"/>
      <c r="C30" s="17">
        <f>IFERROR(IF((C29/$B$29)&lt;0,1,(1-(C29/$B$29))), 0)</f>
        <v>0</v>
      </c>
      <c r="D30" s="17">
        <f t="shared" ref="D30:E30" si="4">IFERROR(IF((D29/$B$29)&lt;0,1,(1-(D29/$B$29))), 0)</f>
        <v>0</v>
      </c>
      <c r="E30" s="17">
        <f t="shared" si="4"/>
        <v>0</v>
      </c>
    </row>
    <row r="31" spans="1:5" ht="6" customHeight="1" x14ac:dyDescent="0.25">
      <c r="A31" s="2"/>
      <c r="B31" s="13"/>
      <c r="C31" s="14"/>
      <c r="D31" s="14"/>
      <c r="E31" s="14"/>
    </row>
    <row r="32" spans="1:5" x14ac:dyDescent="0.25">
      <c r="A32" s="2" t="s">
        <v>160</v>
      </c>
      <c r="B32" s="30">
        <v>10</v>
      </c>
      <c r="C32" s="16">
        <f>($B32*(1-C$51))+($B32*(1-C$52))</f>
        <v>2.9999999999999991</v>
      </c>
      <c r="D32" s="16">
        <f>($B32*(1-D$51))+($B32*(1-D$52))</f>
        <v>2.5</v>
      </c>
      <c r="E32" s="16">
        <f>($B32*(1-E$51))+($B32*(1-E$52))</f>
        <v>2.5</v>
      </c>
    </row>
    <row r="33" spans="1:10" x14ac:dyDescent="0.25">
      <c r="A33" s="2" t="s">
        <v>186</v>
      </c>
      <c r="B33" s="35">
        <v>80000</v>
      </c>
      <c r="C33" s="37" t="s">
        <v>176</v>
      </c>
      <c r="D33" s="37" t="s">
        <v>176</v>
      </c>
      <c r="E33" s="16" t="s">
        <v>176</v>
      </c>
    </row>
    <row r="34" spans="1:10" x14ac:dyDescent="0.25">
      <c r="A34" s="2" t="s">
        <v>187</v>
      </c>
      <c r="B34" s="35">
        <v>250000</v>
      </c>
      <c r="C34" s="37" t="s">
        <v>176</v>
      </c>
      <c r="D34" s="37" t="s">
        <v>176</v>
      </c>
      <c r="E34" s="16" t="s">
        <v>176</v>
      </c>
    </row>
    <row r="35" spans="1:10" x14ac:dyDescent="0.25">
      <c r="A35" s="2" t="s">
        <v>188</v>
      </c>
      <c r="B35" s="35">
        <f>(($B$33/2080)*(B$32*0.8))+(($B$34/2080)*(B$32*0.2))</f>
        <v>548.07692307692309</v>
      </c>
      <c r="C35" s="35">
        <f>(($B$33/2080)*(C$32*0.8))+(($B$34/2080)*(C$32*0.2))</f>
        <v>164.42307692307688</v>
      </c>
      <c r="D35" s="35">
        <f>(($B$33/2080)*(D$32*0.8))+(($B$34/2080)*(D$32*0.2))</f>
        <v>137.01923076923077</v>
      </c>
      <c r="E35" s="35">
        <f>(($B$33/2080)*(E$32*0.8))+(($B$34/2080)*(E$32*0.2))</f>
        <v>137.01923076923077</v>
      </c>
    </row>
    <row r="36" spans="1:10" x14ac:dyDescent="0.25">
      <c r="A36" s="2" t="s">
        <v>18</v>
      </c>
      <c r="B36" s="30">
        <v>40</v>
      </c>
      <c r="C36" s="25">
        <f>(($B36*(1-C$51))+($B36*(1-C$52)))+(C49/52)</f>
        <v>44.307692307692307</v>
      </c>
      <c r="D36" s="25">
        <f>(($B36*(1-D$51))+($B36*(1-D$52)))+(D49/52)</f>
        <v>10</v>
      </c>
      <c r="E36" s="25">
        <f>(($B36*(1-E$51))+($B36*(1-E$52)))+(E49/52)</f>
        <v>10</v>
      </c>
    </row>
    <row r="37" spans="1:10" x14ac:dyDescent="0.25">
      <c r="A37" s="2" t="s">
        <v>19</v>
      </c>
      <c r="B37" s="30">
        <v>52</v>
      </c>
      <c r="C37" s="25">
        <f>($B37*(1-C$51))+($B37*(1-C$52))</f>
        <v>15.599999999999998</v>
      </c>
      <c r="D37" s="25">
        <f>($B37*(1-D$51))+($B37*(1-D$52))</f>
        <v>13</v>
      </c>
      <c r="E37" s="25">
        <f>($B37*(1-E$51))+($B37*(1-E$52))</f>
        <v>13</v>
      </c>
    </row>
    <row r="38" spans="1:10" x14ac:dyDescent="0.25">
      <c r="A38" s="2" t="s">
        <v>171</v>
      </c>
      <c r="B38" s="12">
        <f>B32*B36*B37</f>
        <v>20800</v>
      </c>
      <c r="C38" s="12">
        <f t="shared" ref="C38:E38" si="5">C32*C36*C37</f>
        <v>2073.599999999999</v>
      </c>
      <c r="D38" s="12">
        <f t="shared" si="5"/>
        <v>325</v>
      </c>
      <c r="E38" s="12">
        <f t="shared" si="5"/>
        <v>325</v>
      </c>
    </row>
    <row r="39" spans="1:10" x14ac:dyDescent="0.25">
      <c r="A39" s="2" t="s">
        <v>172</v>
      </c>
      <c r="B39" s="12"/>
      <c r="C39" s="12">
        <f>C38-$B$38</f>
        <v>-18726.400000000001</v>
      </c>
      <c r="D39" s="12">
        <f t="shared" ref="D39:E39" si="6">D38-$B$38</f>
        <v>-20475</v>
      </c>
      <c r="E39" s="12">
        <f t="shared" si="6"/>
        <v>-20475</v>
      </c>
    </row>
    <row r="40" spans="1:10" x14ac:dyDescent="0.25">
      <c r="A40" s="2" t="s">
        <v>173</v>
      </c>
      <c r="B40" s="12"/>
      <c r="C40" s="14">
        <f>$B$38/C38</f>
        <v>10.030864197530869</v>
      </c>
      <c r="D40" s="14">
        <f t="shared" ref="D40:E40" si="7">$B$38/D38</f>
        <v>64</v>
      </c>
      <c r="E40" s="14">
        <f t="shared" si="7"/>
        <v>64</v>
      </c>
      <c r="J40" s="26"/>
    </row>
    <row r="41" spans="1:10" x14ac:dyDescent="0.25">
      <c r="A41" s="2" t="s">
        <v>174</v>
      </c>
      <c r="B41" s="25">
        <f>(0.85*B5)-(B51*B52)</f>
        <v>849.96</v>
      </c>
      <c r="C41" s="25">
        <f>$B$41-((0.85*$B$41)-(C51*C52))</f>
        <v>128.21400000000006</v>
      </c>
      <c r="D41" s="25">
        <f>$B$41-((0.85*$B$41)-(D51*D52))</f>
        <v>128.25400000000002</v>
      </c>
      <c r="E41" s="25">
        <f>$B$41-((0.85*$B$41)-(E51*E52))</f>
        <v>128.25400000000002</v>
      </c>
    </row>
    <row r="42" spans="1:10" x14ac:dyDescent="0.25">
      <c r="A42" s="2" t="s">
        <v>177</v>
      </c>
      <c r="B42" s="14">
        <f>B41/B41</f>
        <v>1</v>
      </c>
      <c r="C42" s="14">
        <f>C41/$B$41</f>
        <v>0.15084709868699708</v>
      </c>
      <c r="D42" s="14">
        <f t="shared" ref="D42:E42" si="8">D41/$B$41</f>
        <v>0.15089415972516354</v>
      </c>
      <c r="E42" s="14">
        <f t="shared" si="8"/>
        <v>0.15089415972516354</v>
      </c>
    </row>
    <row r="43" spans="1:10" x14ac:dyDescent="0.25">
      <c r="A43" s="2" t="s">
        <v>196</v>
      </c>
      <c r="B43" s="29">
        <f>B5</f>
        <v>1000</v>
      </c>
      <c r="C43" s="29">
        <f t="shared" ref="C43:E43" si="9">C5</f>
        <v>1000</v>
      </c>
      <c r="D43" s="29">
        <f t="shared" si="9"/>
        <v>50</v>
      </c>
      <c r="E43" s="29">
        <f t="shared" si="9"/>
        <v>26</v>
      </c>
    </row>
    <row r="44" spans="1:10" x14ac:dyDescent="0.25">
      <c r="A44" s="2" t="s">
        <v>197</v>
      </c>
      <c r="B44" s="29">
        <f>$B$16</f>
        <v>2.8</v>
      </c>
      <c r="C44" s="29">
        <f t="shared" ref="C44:E44" si="10">$B$16</f>
        <v>2.8</v>
      </c>
      <c r="D44" s="29">
        <f t="shared" si="10"/>
        <v>2.8</v>
      </c>
      <c r="E44" s="29">
        <f t="shared" si="10"/>
        <v>2.8</v>
      </c>
    </row>
    <row r="45" spans="1:10" x14ac:dyDescent="0.25">
      <c r="A45" s="2" t="s">
        <v>198</v>
      </c>
      <c r="B45" s="29">
        <f>B43*B44</f>
        <v>2800</v>
      </c>
      <c r="C45" s="29">
        <f t="shared" ref="C45:E45" si="11">C43*C44</f>
        <v>2800</v>
      </c>
      <c r="D45" s="29">
        <f t="shared" si="11"/>
        <v>140</v>
      </c>
      <c r="E45" s="29">
        <f t="shared" si="11"/>
        <v>72.8</v>
      </c>
    </row>
    <row r="46" spans="1:10" x14ac:dyDescent="0.25">
      <c r="A46" s="2" t="s">
        <v>192</v>
      </c>
      <c r="B46" s="30" t="s">
        <v>193</v>
      </c>
      <c r="C46" s="30" t="s">
        <v>201</v>
      </c>
      <c r="D46" s="30" t="s">
        <v>195</v>
      </c>
      <c r="E46" s="30" t="s">
        <v>195</v>
      </c>
    </row>
    <row r="47" spans="1:10" x14ac:dyDescent="0.25">
      <c r="A47" s="2" t="s">
        <v>194</v>
      </c>
      <c r="B47" s="14">
        <f>CHOOSE(MATCH(B$46,{"Conservative","Realistic","Common","GDAI"},0), 0.5, 0.7, 0.8, 0)</f>
        <v>0.5</v>
      </c>
      <c r="C47" s="14">
        <f>CHOOSE(MATCH(C$46,{"Conservative","Realistic","Common","GDAI"},0), 0.5, 0.7, 0.8, 0)</f>
        <v>0.8</v>
      </c>
      <c r="D47" s="14">
        <f>CHOOSE(MATCH(D$46,{"Conservative","Realistic","Common","GDAI"},0), 0.5, 0.7, 0.8, 0)</f>
        <v>0</v>
      </c>
      <c r="E47" s="14">
        <f>CHOOSE(MATCH(E$46,{"Conservative","Realistic","Common","GDAI"},0), 0.5, 0.7, 0.8, 0)</f>
        <v>0</v>
      </c>
    </row>
    <row r="48" spans="1:10" x14ac:dyDescent="0.25">
      <c r="A48" s="2" t="s">
        <v>199</v>
      </c>
      <c r="B48" s="29">
        <f>CHOOSE(MATCH($B$46,{"Conservative","Realistic","Common","GDAI"},0), 60, 30, 45, 0)</f>
        <v>60</v>
      </c>
      <c r="C48" s="29">
        <f>CHOOSE(MATCH($C$46,{"Conservative","Realistic","Common","GDAI"},0), 60, 30, 45, 0)</f>
        <v>45</v>
      </c>
      <c r="D48" s="29">
        <f>CHOOSE(MATCH($D$46,{"Conservative","Realistic","Common","GDAI"},0), 60, 30, 45, 0)</f>
        <v>0</v>
      </c>
      <c r="E48" s="29">
        <f>CHOOSE(MATCH($E$46,{"Conservative","Realistic","Common","GDAI"},0), 60, 30, 45, 0)</f>
        <v>0</v>
      </c>
    </row>
    <row r="49" spans="1:8" x14ac:dyDescent="0.25">
      <c r="A49" s="2" t="s">
        <v>200</v>
      </c>
      <c r="B49" s="29">
        <f>((B45*B47)*B48)/60</f>
        <v>1400</v>
      </c>
      <c r="C49" s="29">
        <f t="shared" ref="C49:E49" si="12">((C45*C47)*C48)/60</f>
        <v>1680</v>
      </c>
      <c r="D49" s="29">
        <f t="shared" si="12"/>
        <v>0</v>
      </c>
      <c r="E49" s="29">
        <f t="shared" si="12"/>
        <v>0</v>
      </c>
    </row>
    <row r="50" spans="1:8" ht="4.5" customHeight="1" x14ac:dyDescent="0.25">
      <c r="A50" s="2"/>
      <c r="B50" s="12"/>
      <c r="C50" s="12"/>
      <c r="D50" s="12"/>
      <c r="E50" s="12"/>
    </row>
    <row r="51" spans="1:8" x14ac:dyDescent="0.25">
      <c r="A51" s="2" t="s">
        <v>20</v>
      </c>
      <c r="B51" s="36">
        <v>0.2</v>
      </c>
      <c r="C51" s="36">
        <v>0.8</v>
      </c>
      <c r="D51" s="36">
        <v>0.95</v>
      </c>
      <c r="E51" s="36">
        <v>0.95</v>
      </c>
    </row>
    <row r="52" spans="1:8" x14ac:dyDescent="0.25">
      <c r="A52" s="2" t="s">
        <v>178</v>
      </c>
      <c r="B52" s="36">
        <v>0.2</v>
      </c>
      <c r="C52" s="36">
        <v>0.9</v>
      </c>
      <c r="D52" s="36">
        <v>0.8</v>
      </c>
      <c r="E52" s="36">
        <v>0.8</v>
      </c>
    </row>
    <row r="53" spans="1:8" ht="4.5" customHeight="1" x14ac:dyDescent="0.25">
      <c r="A53" s="2"/>
      <c r="B53" s="12"/>
      <c r="C53" s="12"/>
      <c r="D53" s="12"/>
      <c r="E53" s="12"/>
      <c r="H53" s="26"/>
    </row>
    <row r="54" spans="1:8" x14ac:dyDescent="0.25">
      <c r="A54" s="2" t="s">
        <v>21</v>
      </c>
      <c r="B54" s="18">
        <f>B22-((B22*B51)+((B22-(B22*B51))*B52))</f>
        <v>729600</v>
      </c>
      <c r="C54" s="18">
        <f>(C32*C35*C36*C37)</f>
        <v>340947.69230769208</v>
      </c>
      <c r="D54" s="18">
        <f>(D32*D35*D36*D37)</f>
        <v>44531.25</v>
      </c>
      <c r="E54" s="18">
        <f>(E32*E35*E36*E37)</f>
        <v>44531.25</v>
      </c>
    </row>
    <row r="55" spans="1:8" x14ac:dyDescent="0.25">
      <c r="A55" s="2" t="s">
        <v>159</v>
      </c>
      <c r="B55" s="14"/>
      <c r="C55" s="17">
        <f>C54/$B$54</f>
        <v>0.46730769230769198</v>
      </c>
      <c r="D55" s="17">
        <f t="shared" ref="D55:E55" si="13">D54/$B$54</f>
        <v>6.103515625E-2</v>
      </c>
      <c r="E55" s="17">
        <f t="shared" si="13"/>
        <v>6.103515625E-2</v>
      </c>
    </row>
    <row r="56" spans="1:8" x14ac:dyDescent="0.25">
      <c r="A56" s="2" t="s">
        <v>22</v>
      </c>
      <c r="B56" s="18">
        <f>B22-B54</f>
        <v>410400</v>
      </c>
      <c r="C56" s="18">
        <f>$B$54-C54</f>
        <v>388652.30769230792</v>
      </c>
      <c r="D56" s="18">
        <f t="shared" ref="D56:E56" si="14">$B$54-D54</f>
        <v>685068.75</v>
      </c>
      <c r="E56" s="18">
        <f t="shared" si="14"/>
        <v>685068.75</v>
      </c>
    </row>
    <row r="57" spans="1:8" x14ac:dyDescent="0.25">
      <c r="A57" s="2" t="s">
        <v>164</v>
      </c>
      <c r="B57" s="14">
        <f>B56/B54</f>
        <v>0.5625</v>
      </c>
      <c r="C57" s="14">
        <f t="shared" ref="C57:E57" si="15">C56/C54</f>
        <v>1.1399176954732524</v>
      </c>
      <c r="D57" s="14">
        <f t="shared" si="15"/>
        <v>15.384</v>
      </c>
      <c r="E57" s="14">
        <f t="shared" si="15"/>
        <v>15.384</v>
      </c>
    </row>
    <row r="60" spans="1:8" x14ac:dyDescent="0.25">
      <c r="C60" s="15"/>
    </row>
  </sheetData>
  <dataValidations disablePrompts="1" count="1">
    <dataValidation type="list" allowBlank="1" showInputMessage="1" showErrorMessage="1" sqref="B46:E46" xr:uid="{3734880E-D0EB-4F44-9AAF-4A4CCDDE01EC}">
      <formula1>"Conservative, Realistic, Common, GDAI"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F0AD-F930-4025-958E-122B8D56501B}">
  <dimension ref="A2:H54"/>
  <sheetViews>
    <sheetView zoomScaleNormal="100" workbookViewId="0">
      <selection activeCell="G3" sqref="G3"/>
    </sheetView>
  </sheetViews>
  <sheetFormatPr defaultColWidth="8.85546875" defaultRowHeight="15" x14ac:dyDescent="0.25"/>
  <cols>
    <col min="1" max="1" width="54" bestFit="1" customWidth="1"/>
    <col min="2" max="2" width="13.85546875" bestFit="1" customWidth="1"/>
    <col min="3" max="3" width="45.140625" bestFit="1" customWidth="1"/>
    <col min="4" max="5" width="1.42578125" customWidth="1"/>
    <col min="6" max="6" width="52.28515625" bestFit="1" customWidth="1"/>
    <col min="7" max="7" width="12.85546875" bestFit="1" customWidth="1"/>
    <col min="8" max="8" width="139.7109375" bestFit="1" customWidth="1"/>
  </cols>
  <sheetData>
    <row r="2" spans="1:8" x14ac:dyDescent="0.25">
      <c r="B2" t="s">
        <v>23</v>
      </c>
      <c r="F2" t="s">
        <v>24</v>
      </c>
      <c r="G2" s="4">
        <f>B8*B7</f>
        <v>200000</v>
      </c>
      <c r="H2" t="s">
        <v>25</v>
      </c>
    </row>
    <row r="3" spans="1:8" x14ac:dyDescent="0.25">
      <c r="A3" s="2" t="s">
        <v>26</v>
      </c>
      <c r="B3" s="5">
        <v>10000000</v>
      </c>
      <c r="C3" s="6" t="s">
        <v>27</v>
      </c>
      <c r="D3" s="7"/>
      <c r="F3" t="s">
        <v>28</v>
      </c>
      <c r="G3" s="4">
        <f>(B8*B11)+((B8-(B8*B11))*B12)</f>
        <v>34000</v>
      </c>
      <c r="H3" t="s">
        <v>29</v>
      </c>
    </row>
    <row r="4" spans="1:8" x14ac:dyDescent="0.25">
      <c r="A4" s="2" t="s">
        <v>30</v>
      </c>
      <c r="B4" s="5">
        <v>50000</v>
      </c>
      <c r="C4" s="6" t="s">
        <v>31</v>
      </c>
      <c r="D4" s="7"/>
      <c r="F4" t="s">
        <v>32</v>
      </c>
      <c r="G4" s="4">
        <f>B7*G3</f>
        <v>136000</v>
      </c>
    </row>
    <row r="5" spans="1:8" x14ac:dyDescent="0.25">
      <c r="A5" s="2" t="s">
        <v>33</v>
      </c>
      <c r="B5" s="5">
        <v>120</v>
      </c>
      <c r="C5" s="6" t="s">
        <v>34</v>
      </c>
      <c r="D5" s="7"/>
      <c r="F5" t="s">
        <v>35</v>
      </c>
      <c r="G5" s="4">
        <f>MAX(0, (G3-B13)*B14/100)</f>
        <v>4500</v>
      </c>
      <c r="H5" t="s">
        <v>36</v>
      </c>
    </row>
    <row r="6" spans="1:8" x14ac:dyDescent="0.25">
      <c r="A6" s="2" t="s">
        <v>37</v>
      </c>
      <c r="B6" s="8">
        <v>10</v>
      </c>
      <c r="C6" s="6" t="s">
        <v>38</v>
      </c>
      <c r="D6" s="7"/>
      <c r="F6" t="s">
        <v>39</v>
      </c>
      <c r="G6" s="4">
        <f>G2 - G5</f>
        <v>195500</v>
      </c>
      <c r="H6" t="s">
        <v>40</v>
      </c>
    </row>
    <row r="7" spans="1:8" x14ac:dyDescent="0.25">
      <c r="A7" s="2" t="s">
        <v>41</v>
      </c>
      <c r="B7" s="8">
        <v>4</v>
      </c>
      <c r="C7" s="6" t="s">
        <v>42</v>
      </c>
      <c r="D7" s="7"/>
      <c r="F7" t="s">
        <v>43</v>
      </c>
      <c r="G7" s="2">
        <f>(B14+B20+B21+B22+B23+B27)/100</f>
        <v>2.15</v>
      </c>
      <c r="H7" t="s">
        <v>44</v>
      </c>
    </row>
    <row r="8" spans="1:8" x14ac:dyDescent="0.25">
      <c r="A8" s="2" t="s">
        <v>45</v>
      </c>
      <c r="B8" s="5">
        <v>50000</v>
      </c>
      <c r="C8" s="6" t="s">
        <v>46</v>
      </c>
      <c r="D8" s="7"/>
      <c r="F8" t="s">
        <v>47</v>
      </c>
      <c r="G8" s="9">
        <f>MAX(0,G7 * (1 - B29/100))</f>
        <v>1.6124999999999998</v>
      </c>
      <c r="H8" t="s">
        <v>48</v>
      </c>
    </row>
    <row r="9" spans="1:8" x14ac:dyDescent="0.25">
      <c r="A9" s="2" t="s">
        <v>49</v>
      </c>
      <c r="B9" s="8">
        <v>80</v>
      </c>
      <c r="C9" s="6" t="s">
        <v>50</v>
      </c>
      <c r="D9" s="7"/>
      <c r="F9" t="s">
        <v>51</v>
      </c>
      <c r="G9" s="2">
        <f>B26/100</f>
        <v>0.6</v>
      </c>
      <c r="H9" t="s">
        <v>52</v>
      </c>
    </row>
    <row r="10" spans="1:8" x14ac:dyDescent="0.25">
      <c r="A10" s="2" t="s">
        <v>53</v>
      </c>
      <c r="B10" s="8">
        <v>8</v>
      </c>
      <c r="C10" s="6" t="s">
        <v>54</v>
      </c>
      <c r="D10" s="7"/>
      <c r="F10" t="s">
        <v>55</v>
      </c>
      <c r="G10" s="9">
        <f>MAX(0, MIN(1, G8*(1-G9)))</f>
        <v>0.64500000000000002</v>
      </c>
      <c r="H10" t="s">
        <v>56</v>
      </c>
    </row>
    <row r="11" spans="1:8" x14ac:dyDescent="0.25">
      <c r="A11" s="2" t="s">
        <v>57</v>
      </c>
      <c r="B11" s="21">
        <v>0.6</v>
      </c>
      <c r="C11" s="6" t="s">
        <v>58</v>
      </c>
      <c r="D11" s="7"/>
      <c r="F11" t="s">
        <v>59</v>
      </c>
      <c r="G11" s="4">
        <f>G6 * G10</f>
        <v>126097.5</v>
      </c>
      <c r="H11" t="s">
        <v>60</v>
      </c>
    </row>
    <row r="12" spans="1:8" x14ac:dyDescent="0.25">
      <c r="A12" s="2" t="s">
        <v>61</v>
      </c>
      <c r="B12" s="21">
        <v>0.2</v>
      </c>
      <c r="C12" s="6" t="s">
        <v>62</v>
      </c>
      <c r="D12" s="7"/>
      <c r="F12" t="s">
        <v>63</v>
      </c>
      <c r="G12" s="4">
        <f>SUM(B31,B33,B35,B37)+B39</f>
        <v>114000</v>
      </c>
      <c r="H12" t="s">
        <v>64</v>
      </c>
    </row>
    <row r="13" spans="1:8" x14ac:dyDescent="0.25">
      <c r="A13" s="2" t="s">
        <v>65</v>
      </c>
      <c r="B13" s="5">
        <v>25000</v>
      </c>
      <c r="C13" s="6" t="s">
        <v>66</v>
      </c>
      <c r="D13" s="7"/>
      <c r="F13" t="s">
        <v>67</v>
      </c>
      <c r="G13" s="4">
        <f>SUM(B30,B32,B34,B36,B38)</f>
        <v>385000</v>
      </c>
      <c r="H13" t="s">
        <v>68</v>
      </c>
    </row>
    <row r="14" spans="1:8" x14ac:dyDescent="0.25">
      <c r="A14" s="2" t="s">
        <v>69</v>
      </c>
      <c r="B14" s="8">
        <v>50</v>
      </c>
      <c r="C14" s="6" t="s">
        <v>70</v>
      </c>
      <c r="D14" s="7"/>
      <c r="F14" t="s">
        <v>71</v>
      </c>
      <c r="G14" s="10">
        <f>SUM(B40,B41,B42,B46)*B53</f>
        <v>520</v>
      </c>
      <c r="H14" t="s">
        <v>72</v>
      </c>
    </row>
    <row r="15" spans="1:8" x14ac:dyDescent="0.25">
      <c r="A15" s="2" t="s">
        <v>14</v>
      </c>
      <c r="B15" s="22">
        <v>250</v>
      </c>
      <c r="C15" s="6"/>
      <c r="D15" s="7"/>
      <c r="G15" s="10"/>
    </row>
    <row r="16" spans="1:8" x14ac:dyDescent="0.25">
      <c r="A16" s="2" t="s">
        <v>15</v>
      </c>
      <c r="B16" s="8">
        <v>2000</v>
      </c>
      <c r="C16" s="6"/>
      <c r="D16" s="7"/>
      <c r="G16" s="10"/>
    </row>
    <row r="17" spans="1:8" x14ac:dyDescent="0.25">
      <c r="A17" s="2" t="s">
        <v>16</v>
      </c>
      <c r="B17" s="22">
        <f>B15*B16</f>
        <v>500000</v>
      </c>
      <c r="C17" s="6"/>
      <c r="D17" s="7"/>
      <c r="G17" s="10"/>
    </row>
    <row r="18" spans="1:8" x14ac:dyDescent="0.25">
      <c r="A18" s="2" t="s">
        <v>17</v>
      </c>
      <c r="B18" s="8"/>
      <c r="C18" s="6"/>
      <c r="D18" s="7"/>
      <c r="G18" s="10"/>
    </row>
    <row r="19" spans="1:8" x14ac:dyDescent="0.25">
      <c r="A19" s="2" t="s">
        <v>158</v>
      </c>
      <c r="B19" s="8"/>
      <c r="C19" s="6"/>
      <c r="D19" s="7"/>
      <c r="G19" s="10"/>
    </row>
    <row r="20" spans="1:8" x14ac:dyDescent="0.25">
      <c r="A20" s="2" t="s">
        <v>73</v>
      </c>
      <c r="B20" s="8">
        <v>30</v>
      </c>
      <c r="C20" s="6" t="s">
        <v>74</v>
      </c>
      <c r="D20" s="7"/>
      <c r="F20" t="s">
        <v>75</v>
      </c>
      <c r="G20" s="2">
        <f>SUM(B43,B44,B45)*B53</f>
        <v>440</v>
      </c>
      <c r="H20" t="s">
        <v>76</v>
      </c>
    </row>
    <row r="21" spans="1:8" x14ac:dyDescent="0.25">
      <c r="A21" s="2" t="s">
        <v>77</v>
      </c>
      <c r="B21" s="8">
        <v>30</v>
      </c>
      <c r="C21" s="6" t="s">
        <v>78</v>
      </c>
      <c r="D21" s="7"/>
      <c r="F21" t="s">
        <v>79</v>
      </c>
      <c r="G21" s="11">
        <f>((B27/100)*G6)</f>
        <v>19550</v>
      </c>
      <c r="H21" t="s">
        <v>80</v>
      </c>
    </row>
    <row r="22" spans="1:8" x14ac:dyDescent="0.25">
      <c r="A22" s="2" t="s">
        <v>81</v>
      </c>
      <c r="B22" s="8">
        <v>40</v>
      </c>
      <c r="C22" s="6" t="s">
        <v>82</v>
      </c>
      <c r="D22" s="7"/>
      <c r="F22" t="s">
        <v>83</v>
      </c>
      <c r="G22" s="4">
        <f>G14 * B5</f>
        <v>62400</v>
      </c>
      <c r="H22" t="s">
        <v>84</v>
      </c>
    </row>
    <row r="23" spans="1:8" x14ac:dyDescent="0.25">
      <c r="A23" s="2" t="s">
        <v>85</v>
      </c>
      <c r="B23" s="8">
        <v>55</v>
      </c>
      <c r="C23" s="6" t="s">
        <v>86</v>
      </c>
      <c r="D23" s="7"/>
      <c r="F23" t="s">
        <v>87</v>
      </c>
      <c r="G23" s="4">
        <f>G20*B5</f>
        <v>52800</v>
      </c>
      <c r="H23" t="s">
        <v>88</v>
      </c>
    </row>
    <row r="24" spans="1:8" x14ac:dyDescent="0.25">
      <c r="A24" s="2" t="s">
        <v>89</v>
      </c>
      <c r="B24" s="8">
        <v>35</v>
      </c>
      <c r="C24" s="6" t="s">
        <v>90</v>
      </c>
      <c r="D24" s="7"/>
      <c r="F24" t="s">
        <v>91</v>
      </c>
      <c r="G24" s="4">
        <f>G12 + G23 + G21</f>
        <v>186350</v>
      </c>
      <c r="H24" t="s">
        <v>92</v>
      </c>
    </row>
    <row r="25" spans="1:8" x14ac:dyDescent="0.25">
      <c r="A25" s="2" t="s">
        <v>93</v>
      </c>
      <c r="B25" s="8">
        <v>60</v>
      </c>
      <c r="C25" s="6" t="s">
        <v>94</v>
      </c>
      <c r="D25" s="7"/>
      <c r="F25" t="s">
        <v>95</v>
      </c>
      <c r="G25" s="3">
        <f>(G11-G23)/G23</f>
        <v>1.3882102272727272</v>
      </c>
      <c r="H25" t="s">
        <v>96</v>
      </c>
    </row>
    <row r="26" spans="1:8" x14ac:dyDescent="0.25">
      <c r="A26" s="2" t="s">
        <v>97</v>
      </c>
      <c r="B26" s="8">
        <v>60</v>
      </c>
      <c r="C26" s="6" t="s">
        <v>98</v>
      </c>
      <c r="D26" s="7"/>
      <c r="F26" t="s">
        <v>99</v>
      </c>
      <c r="G26" s="10">
        <f>IF((G11 - G23)&gt;0, ((G12 + G21) / (G11 - G23))*365, "N/A")</f>
        <v>665.0397353252157</v>
      </c>
      <c r="H26" t="s">
        <v>100</v>
      </c>
    </row>
    <row r="27" spans="1:8" x14ac:dyDescent="0.25">
      <c r="A27" s="2" t="s">
        <v>101</v>
      </c>
      <c r="B27" s="8">
        <v>10</v>
      </c>
      <c r="C27" s="6" t="s">
        <v>102</v>
      </c>
      <c r="D27" s="7"/>
    </row>
    <row r="28" spans="1:8" x14ac:dyDescent="0.25">
      <c r="A28" s="2" t="s">
        <v>103</v>
      </c>
      <c r="B28" s="8">
        <v>70</v>
      </c>
      <c r="C28" s="6" t="s">
        <v>104</v>
      </c>
      <c r="D28" s="7"/>
    </row>
    <row r="29" spans="1:8" x14ac:dyDescent="0.25">
      <c r="A29" s="2" t="s">
        <v>105</v>
      </c>
      <c r="B29" s="8">
        <v>25</v>
      </c>
      <c r="C29" s="6" t="s">
        <v>106</v>
      </c>
      <c r="D29" s="7"/>
    </row>
    <row r="30" spans="1:8" x14ac:dyDescent="0.25">
      <c r="A30" s="2" t="s">
        <v>107</v>
      </c>
      <c r="B30" s="5">
        <v>20000</v>
      </c>
      <c r="C30" s="6" t="s">
        <v>108</v>
      </c>
      <c r="D30" s="7"/>
    </row>
    <row r="31" spans="1:8" x14ac:dyDescent="0.25">
      <c r="A31" s="2" t="s">
        <v>109</v>
      </c>
      <c r="B31" s="5">
        <v>5000</v>
      </c>
      <c r="C31" s="6" t="s">
        <v>110</v>
      </c>
      <c r="D31" s="7"/>
    </row>
    <row r="32" spans="1:8" x14ac:dyDescent="0.25">
      <c r="A32" s="2" t="s">
        <v>111</v>
      </c>
      <c r="B32" s="5">
        <v>15000</v>
      </c>
      <c r="C32" s="6" t="s">
        <v>112</v>
      </c>
      <c r="D32" s="7"/>
    </row>
    <row r="33" spans="1:4" x14ac:dyDescent="0.25">
      <c r="A33" s="2" t="s">
        <v>113</v>
      </c>
      <c r="B33" s="5">
        <v>4000</v>
      </c>
      <c r="C33" s="6" t="s">
        <v>114</v>
      </c>
      <c r="D33" s="7"/>
    </row>
    <row r="34" spans="1:4" x14ac:dyDescent="0.25">
      <c r="A34" s="2" t="s">
        <v>115</v>
      </c>
      <c r="B34" s="5">
        <v>120000</v>
      </c>
      <c r="C34" s="6" t="s">
        <v>116</v>
      </c>
      <c r="D34" s="7"/>
    </row>
    <row r="35" spans="1:4" x14ac:dyDescent="0.25">
      <c r="A35" s="2" t="s">
        <v>117</v>
      </c>
      <c r="B35" s="5">
        <v>30000</v>
      </c>
      <c r="C35" s="6" t="s">
        <v>118</v>
      </c>
      <c r="D35" s="7"/>
    </row>
    <row r="36" spans="1:4" x14ac:dyDescent="0.25">
      <c r="A36" s="2" t="s">
        <v>119</v>
      </c>
      <c r="B36" s="5">
        <v>200000</v>
      </c>
      <c r="C36" s="6" t="s">
        <v>120</v>
      </c>
      <c r="D36" s="7"/>
    </row>
    <row r="37" spans="1:4" x14ac:dyDescent="0.25">
      <c r="A37" s="2" t="s">
        <v>121</v>
      </c>
      <c r="B37" s="5">
        <v>60000</v>
      </c>
      <c r="C37" s="6" t="s">
        <v>122</v>
      </c>
      <c r="D37" s="7"/>
    </row>
    <row r="38" spans="1:4" x14ac:dyDescent="0.25">
      <c r="A38" s="2" t="s">
        <v>123</v>
      </c>
      <c r="B38" s="5">
        <v>30000</v>
      </c>
      <c r="C38" s="6" t="s">
        <v>124</v>
      </c>
      <c r="D38" s="7"/>
    </row>
    <row r="39" spans="1:4" x14ac:dyDescent="0.25">
      <c r="A39" s="2" t="s">
        <v>125</v>
      </c>
      <c r="B39" s="5">
        <v>15000</v>
      </c>
      <c r="C39" s="6" t="s">
        <v>126</v>
      </c>
      <c r="D39" s="7"/>
    </row>
    <row r="40" spans="1:4" x14ac:dyDescent="0.25">
      <c r="A40" s="2" t="s">
        <v>127</v>
      </c>
      <c r="B40" s="8">
        <v>120</v>
      </c>
      <c r="C40" s="6" t="s">
        <v>128</v>
      </c>
      <c r="D40" s="7"/>
    </row>
    <row r="41" spans="1:4" x14ac:dyDescent="0.25">
      <c r="A41" s="2" t="s">
        <v>129</v>
      </c>
      <c r="B41" s="8">
        <v>80</v>
      </c>
      <c r="C41" s="6" t="s">
        <v>130</v>
      </c>
      <c r="D41" s="7"/>
    </row>
    <row r="42" spans="1:4" x14ac:dyDescent="0.25">
      <c r="A42" s="2" t="s">
        <v>131</v>
      </c>
      <c r="B42" s="8">
        <v>200</v>
      </c>
      <c r="C42" s="6" t="s">
        <v>132</v>
      </c>
      <c r="D42" s="7"/>
    </row>
    <row r="43" spans="1:4" x14ac:dyDescent="0.25">
      <c r="A43" s="2" t="s">
        <v>133</v>
      </c>
      <c r="B43" s="8">
        <v>100</v>
      </c>
      <c r="C43" s="6" t="s">
        <v>134</v>
      </c>
      <c r="D43" s="7"/>
    </row>
    <row r="44" spans="1:4" x14ac:dyDescent="0.25">
      <c r="A44" s="2" t="s">
        <v>135</v>
      </c>
      <c r="B44" s="8">
        <v>300</v>
      </c>
      <c r="C44" s="6" t="s">
        <v>136</v>
      </c>
      <c r="D44" s="7"/>
    </row>
    <row r="45" spans="1:4" x14ac:dyDescent="0.25">
      <c r="A45" s="2" t="s">
        <v>137</v>
      </c>
      <c r="B45" s="8">
        <v>40</v>
      </c>
      <c r="C45" s="6" t="s">
        <v>138</v>
      </c>
      <c r="D45" s="7"/>
    </row>
    <row r="46" spans="1:4" x14ac:dyDescent="0.25">
      <c r="A46" s="2" t="s">
        <v>139</v>
      </c>
      <c r="B46" s="8">
        <v>120</v>
      </c>
      <c r="C46" s="6" t="s">
        <v>140</v>
      </c>
      <c r="D46" s="7"/>
    </row>
    <row r="47" spans="1:4" x14ac:dyDescent="0.25">
      <c r="A47" s="2" t="s">
        <v>141</v>
      </c>
      <c r="B47" s="8">
        <v>80</v>
      </c>
      <c r="C47" s="6" t="s">
        <v>142</v>
      </c>
      <c r="D47" s="7"/>
    </row>
    <row r="48" spans="1:4" x14ac:dyDescent="0.25">
      <c r="A48" s="2" t="s">
        <v>143</v>
      </c>
      <c r="B48" s="8">
        <v>60</v>
      </c>
      <c r="C48" s="6" t="s">
        <v>144</v>
      </c>
      <c r="D48" s="7"/>
    </row>
    <row r="49" spans="1:4" x14ac:dyDescent="0.25">
      <c r="A49" s="2" t="s">
        <v>145</v>
      </c>
      <c r="B49" s="8">
        <v>20</v>
      </c>
      <c r="C49" s="6" t="s">
        <v>146</v>
      </c>
      <c r="D49" s="7"/>
    </row>
    <row r="50" spans="1:4" x14ac:dyDescent="0.25">
      <c r="A50" s="2" t="s">
        <v>147</v>
      </c>
      <c r="B50" s="8">
        <v>15</v>
      </c>
      <c r="C50" s="6" t="s">
        <v>148</v>
      </c>
      <c r="D50" s="7"/>
    </row>
    <row r="51" spans="1:4" x14ac:dyDescent="0.25">
      <c r="A51" s="2" t="s">
        <v>149</v>
      </c>
      <c r="B51" s="8">
        <v>25</v>
      </c>
      <c r="C51" s="6" t="s">
        <v>150</v>
      </c>
      <c r="D51" s="7"/>
    </row>
    <row r="52" spans="1:4" x14ac:dyDescent="0.25">
      <c r="A52" s="2" t="s">
        <v>151</v>
      </c>
      <c r="B52" s="8">
        <v>8</v>
      </c>
      <c r="C52" s="6" t="s">
        <v>152</v>
      </c>
      <c r="D52" s="7"/>
    </row>
    <row r="53" spans="1:4" x14ac:dyDescent="0.25">
      <c r="A53" s="2" t="s">
        <v>153</v>
      </c>
      <c r="B53" s="8">
        <v>1</v>
      </c>
      <c r="C53" s="6" t="s">
        <v>154</v>
      </c>
      <c r="D53" s="7"/>
    </row>
    <row r="54" spans="1:4" x14ac:dyDescent="0.25">
      <c r="A54" s="2" t="s">
        <v>155</v>
      </c>
      <c r="B54" s="8">
        <v>20</v>
      </c>
      <c r="C54" s="6" t="s">
        <v>156</v>
      </c>
      <c r="D5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Calculator v2</vt:lpstr>
      <vt:lpstr>Calculator 3000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Pascua</dc:creator>
  <cp:lastModifiedBy>Dan P</cp:lastModifiedBy>
  <dcterms:created xsi:type="dcterms:W3CDTF">2025-11-07T01:07:49Z</dcterms:created>
  <dcterms:modified xsi:type="dcterms:W3CDTF">2025-12-05T17:36:26Z</dcterms:modified>
</cp:coreProperties>
</file>